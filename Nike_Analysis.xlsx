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ouha\Documents\Portfolio Projects\Project 1 - Nike\"/>
    </mc:Choice>
  </mc:AlternateContent>
  <xr:revisionPtr revIDLastSave="0" documentId="13_ncr:1_{2FC51506-B94B-4DAB-A88A-445C65FE914C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Raw_Data" sheetId="6" r:id="rId1"/>
    <sheet name="Assumptions" sheetId="2" r:id="rId2"/>
    <sheet name="Ratios" sheetId="3" r:id="rId3"/>
    <sheet name="Forecast" sheetId="4" r:id="rId4"/>
    <sheet name="Scenerios" sheetId="5" r:id="rId5"/>
    <sheet name="DashBoard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E10" i="4"/>
  <c r="C10" i="4"/>
  <c r="B10" i="4"/>
  <c r="D9" i="4"/>
  <c r="E9" i="4"/>
  <c r="C9" i="4"/>
  <c r="D8" i="4"/>
  <c r="E8" i="4"/>
  <c r="C8" i="4"/>
  <c r="D7" i="4"/>
  <c r="E7" i="4"/>
  <c r="C7" i="4"/>
  <c r="D6" i="4"/>
  <c r="E6" i="4"/>
  <c r="C6" i="4"/>
  <c r="D5" i="4"/>
  <c r="E5" i="4"/>
  <c r="C5" i="4"/>
  <c r="C13" i="3"/>
  <c r="D13" i="3"/>
  <c r="E13" i="3"/>
  <c r="F13" i="3"/>
  <c r="B13" i="3"/>
  <c r="C12" i="3"/>
  <c r="D12" i="3"/>
  <c r="E12" i="3"/>
  <c r="F12" i="3"/>
  <c r="B12" i="3"/>
  <c r="C11" i="3"/>
  <c r="D11" i="3"/>
  <c r="E11" i="3"/>
  <c r="F11" i="3"/>
  <c r="B11" i="3"/>
  <c r="C10" i="3"/>
  <c r="D10" i="3"/>
  <c r="E10" i="3"/>
  <c r="F10" i="3"/>
  <c r="B10" i="3"/>
  <c r="C9" i="3"/>
  <c r="D9" i="3"/>
  <c r="E9" i="3"/>
  <c r="F9" i="3"/>
  <c r="B9" i="3"/>
  <c r="C8" i="3"/>
  <c r="D8" i="3"/>
  <c r="E8" i="3"/>
  <c r="F8" i="3"/>
  <c r="B8" i="3"/>
  <c r="C7" i="3"/>
  <c r="D7" i="3"/>
  <c r="E7" i="3"/>
  <c r="F7" i="3"/>
  <c r="B7" i="3"/>
  <c r="C6" i="3"/>
  <c r="D6" i="3"/>
  <c r="E6" i="3"/>
  <c r="F6" i="3"/>
  <c r="B6" i="3"/>
  <c r="C5" i="3"/>
  <c r="D5" i="3"/>
  <c r="E5" i="3"/>
  <c r="F5" i="3"/>
  <c r="B5" i="3"/>
  <c r="C4" i="3"/>
  <c r="D4" i="3"/>
  <c r="E4" i="3"/>
  <c r="F4" i="3"/>
  <c r="B4" i="3"/>
  <c r="C3" i="3"/>
  <c r="D3" i="3"/>
  <c r="E3" i="3"/>
  <c r="F3" i="3"/>
  <c r="B3" i="3"/>
  <c r="C2" i="3"/>
  <c r="D2" i="3"/>
  <c r="E2" i="3"/>
  <c r="F2" i="3"/>
  <c r="B2" i="3"/>
</calcChain>
</file>

<file path=xl/sharedStrings.xml><?xml version="1.0" encoding="utf-8"?>
<sst xmlns="http://schemas.openxmlformats.org/spreadsheetml/2006/main" count="80" uniqueCount="50">
  <si>
    <t>Metric</t>
  </si>
  <si>
    <t>Revenue</t>
  </si>
  <si>
    <t>Gross Profit</t>
  </si>
  <si>
    <t>Operating Income</t>
  </si>
  <si>
    <t>Net Income</t>
  </si>
  <si>
    <t>Cash</t>
  </si>
  <si>
    <t>Accounts Receivable</t>
  </si>
  <si>
    <t>Inventory</t>
  </si>
  <si>
    <t>Accounts Payable</t>
  </si>
  <si>
    <t>Total Assets</t>
  </si>
  <si>
    <t>Total Debt</t>
  </si>
  <si>
    <t>Shareholders' Equity</t>
  </si>
  <si>
    <t>Operating Cash Flow</t>
  </si>
  <si>
    <t>Capital Expenditure</t>
  </si>
  <si>
    <t>Ratio</t>
  </si>
  <si>
    <t>Gross Margin</t>
  </si>
  <si>
    <t>Operating Margin</t>
  </si>
  <si>
    <t>Net Margin</t>
  </si>
  <si>
    <t>ROA</t>
  </si>
  <si>
    <t>ROE</t>
  </si>
  <si>
    <t>Debt / Equity</t>
  </si>
  <si>
    <t>Cash Conversion Ratio</t>
  </si>
  <si>
    <t>Free Cash Flow</t>
  </si>
  <si>
    <t>Receivable Days</t>
  </si>
  <si>
    <t>Inventory Days</t>
  </si>
  <si>
    <t>Payable Days</t>
  </si>
  <si>
    <t>CCC</t>
  </si>
  <si>
    <t>Assumption</t>
  </si>
  <si>
    <t>Base Case</t>
  </si>
  <si>
    <t>Revenue Growth 2026</t>
  </si>
  <si>
    <t>Revenue Growth 2027</t>
  </si>
  <si>
    <t>Revenue Growth 2028</t>
  </si>
  <si>
    <t>Tax Rate</t>
  </si>
  <si>
    <t>Capex % Revenue</t>
  </si>
  <si>
    <t>AR Days</t>
  </si>
  <si>
    <t>AP Days</t>
  </si>
  <si>
    <t>2025A</t>
  </si>
  <si>
    <t>2026E</t>
  </si>
  <si>
    <t>2027E</t>
  </si>
  <si>
    <t>2028E</t>
  </si>
  <si>
    <t>Accounts Recievables</t>
  </si>
  <si>
    <t>Capex</t>
  </si>
  <si>
    <t>Bear</t>
  </si>
  <si>
    <t>Base</t>
  </si>
  <si>
    <t>Bull</t>
  </si>
  <si>
    <t>Revenue 2028</t>
  </si>
  <si>
    <t>Operating Income 2028</t>
  </si>
  <si>
    <t>Net Income 2028</t>
  </si>
  <si>
    <t>Year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</si>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</sst>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2" fontId="2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1" fontId="2" fillId="0" borderId="0" xfId="0" applyNumberFormat="1" applyFont="1" applyAlignment="1">
      <alignment horizontal="right" vertical="center" wrapText="1"/>
    </xf>
    <xf numFmtId="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/>
    <xf numFmtId="165" fontId="2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5" fontId="0" fillId="0" borderId="0" xfId="0" applyNumberFormat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Nike Revenue Trend (2021 - 2028E)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DashBoard!$A$2:$A$9</c:f>
              <c:strCach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</c:strCache>
            </c:strRef>
          </c:cat>
          <c:val>
            <c:numRef>
              <c:f>DashBoard!$B$2:$B$9</c:f>
              <c:numCache>
                <c:formatCode>#,##0</c:formatCode>
                <c:ptCount val="8"/>
                <c:pt idx="0">
                  <c:v>44538</c:v>
                </c:pt>
                <c:pt idx="1">
                  <c:v>46710</c:v>
                </c:pt>
                <c:pt idx="2">
                  <c:v>51217</c:v>
                </c:pt>
                <c:pt idx="3">
                  <c:v>51368</c:v>
                </c:pt>
                <c:pt idx="4">
                  <c:v>46309</c:v>
                </c:pt>
                <c:pt idx="5">
                  <c:v>48624</c:v>
                </c:pt>
                <c:pt idx="6">
                  <c:v>51542</c:v>
                </c:pt>
                <c:pt idx="7">
                  <c:v>55150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2-41C5-AD5F-01370FD07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733679"/>
        <c:axId val="234718799"/>
      </c:lineChart>
      <c:catAx>
        <c:axId val="23473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18799"/>
        <c:crosses val="autoZero"/>
        <c:auto val="1"/>
        <c:lblAlgn val="ctr"/>
        <c:lblOffset val="100"/>
        <c:noMultiLvlLbl val="0"/>
      </c:catAx>
      <c:valAx>
        <c:axId val="23471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3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Nike Net Income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DashBoard!$I$2:$I$9</c:f>
              <c:strCach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</c:strCache>
            </c:strRef>
          </c:cat>
          <c:val>
            <c:numRef>
              <c:f>DashBoard!$J$2:$J$9</c:f>
              <c:numCache>
                <c:formatCode>[$$-409]#,##0</c:formatCode>
                <c:ptCount val="8"/>
                <c:pt idx="0">
                  <c:v>5727</c:v>
                </c:pt>
                <c:pt idx="1">
                  <c:v>6046</c:v>
                </c:pt>
                <c:pt idx="2">
                  <c:v>5070</c:v>
                </c:pt>
                <c:pt idx="3">
                  <c:v>5700</c:v>
                </c:pt>
                <c:pt idx="4">
                  <c:v>3219</c:v>
                </c:pt>
                <c:pt idx="5">
                  <c:v>3890</c:v>
                </c:pt>
                <c:pt idx="6">
                  <c:v>4123</c:v>
                </c:pt>
                <c:pt idx="7">
                  <c:v>4412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F-4D6D-9726-9CB7A337E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219999"/>
        <c:axId val="333220959"/>
      </c:barChart>
      <c:catAx>
        <c:axId val="33321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20959"/>
        <c:crosses val="autoZero"/>
        <c:auto val="1"/>
        <c:lblAlgn val="ctr"/>
        <c:lblOffset val="100"/>
        <c:noMultiLvlLbl val="0"/>
      </c:catAx>
      <c:valAx>
        <c:axId val="33322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1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Free</a:t>
            </a:r>
            <a:r>
              <a:rPr lang="en-IN" baseline="0"/>
              <a:t> Cash Flow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DashBoard!$A$18:$A$25</c:f>
              <c:strCach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</c:strCache>
            </c:strRef>
          </c:cat>
          <c:val>
            <c:numRef>
              <c:f>DashBoard!$B$18:$B$25</c:f>
              <c:numCache>
                <c:formatCode>[$$-409]#,##0</c:formatCode>
                <c:ptCount val="8"/>
                <c:pt idx="0">
                  <c:v>5962</c:v>
                </c:pt>
                <c:pt idx="1">
                  <c:v>4430</c:v>
                </c:pt>
                <c:pt idx="2">
                  <c:v>4872</c:v>
                </c:pt>
                <c:pt idx="3">
                  <c:v>6617</c:v>
                </c:pt>
                <c:pt idx="4">
                  <c:v>3268</c:v>
                </c:pt>
                <c:pt idx="5">
                  <c:v>3160</c:v>
                </c:pt>
                <c:pt idx="6">
                  <c:v>3350</c:v>
                </c:pt>
                <c:pt idx="7">
                  <c:v>3585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F-4116-8CDA-1D48C7E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322719"/>
        <c:axId val="333327519"/>
      </c:barChart>
      <c:catAx>
        <c:axId val="33332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27519"/>
        <c:crosses val="autoZero"/>
        <c:auto val="1"/>
        <c:lblAlgn val="ctr"/>
        <c:lblOffset val="100"/>
        <c:noMultiLvlLbl val="0"/>
      </c:catAx>
      <c:valAx>
        <c:axId val="33332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2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2028 Net Income Scenerio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DashBoard!$J$17</c:f>
              <c:strCache>
                <c:ptCount val="1"/>
                <c:pt idx="0">
                  <c:v>Net Income 2028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DashBoard!$I$18:$I$20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DashBoard!$J$18:$J$20</c:f>
              <c:numCache>
                <c:formatCode>General</c:formatCode>
                <c:ptCount val="3"/>
                <c:pt idx="0">
                  <c:v>3259</c:v>
                </c:pt>
                <c:pt idx="1">
                  <c:v>4412</c:v>
                </c:pt>
                <c:pt idx="2">
                  <c:v>5966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C-479B-92EE-29B29B7D6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780719"/>
        <c:axId val="234655439"/>
      </c:barChart>
      <c:catAx>
        <c:axId val="2347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655439"/>
        <c:crosses val="autoZero"/>
        <c:auto val="1"/>
        <c:lblAlgn val="ctr"/>
        <c:lblOffset val="100"/>
        <c:noMultiLvlLbl val="0"/>
      </c:catAx>
      <c:valAx>
        <c:axId val="2346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Income ($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8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B33A0-3B83-40CE-CF7B-AE96DBE51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541020</xdr:colOff>
      <xdr:row>0</xdr:row>
      <xdr:rowOff>0</xdr:rowOff>
    </xdr:from>
    <xdr:to>
      <xdr:col>15</xdr:col>
      <xdr:colOff>594360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06CFB0-EC05-EA6B-EC2A-5DBC85EE5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102870</xdr:rowOff>
    </xdr:from>
    <xdr:to>
      <xdr:col>7</xdr:col>
      <xdr:colOff>304800</xdr:colOff>
      <xdr:row>30</xdr:row>
      <xdr:rowOff>102870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F2D1D0-ABCF-DCA1-0093-964302671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525780</xdr:colOff>
      <xdr:row>15</xdr:row>
      <xdr:rowOff>167640</xdr:rowOff>
    </xdr:from>
    <xdr:to>
      <xdr:col>16</xdr:col>
      <xdr:colOff>0</xdr:colOff>
      <xdr:row>29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2D2075-C802-1A99-8BC7-4FB370DC1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711F-8624-4C47-BBE1-E001F7743E8A}">
  <dimension ref="A1:F14"/>
  <sheetViews>
    <sheetView workbookViewId="0">
      <selection activeCell="D21" sqref="D21"/>
    </sheetView>
  </sheetViews>
  <sheetFormatPr defaultRowHeight="14.4" x14ac:dyDescent="0.3"/>
  <cols>
    <col min="1" max="1" width="23.109375" customWidth="1"/>
    <col min="2" max="2" width="16.109375" style="1" customWidth="1"/>
    <col min="3" max="3" width="14.88671875" customWidth="1"/>
    <col min="4" max="4" width="14.77734375" customWidth="1"/>
    <col min="5" max="5" width="14.88671875" customWidth="1"/>
    <col min="6" max="6" width="16.33203125" customWidth="1"/>
  </cols>
  <sheetData>
    <row r="1" spans="1:6" ht="18" x14ac:dyDescent="0.3">
      <c r="A1" s="2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</row>
    <row r="2" spans="1:6" ht="18" x14ac:dyDescent="0.3">
      <c r="A2" s="3" t="s">
        <v>1</v>
      </c>
      <c r="B2" s="4">
        <v>44538</v>
      </c>
      <c r="C2" s="4">
        <v>46710</v>
      </c>
      <c r="D2" s="4">
        <v>51217</v>
      </c>
      <c r="E2" s="4">
        <v>51368</v>
      </c>
      <c r="F2" s="4">
        <v>46309</v>
      </c>
    </row>
    <row r="3" spans="1:6" ht="18" x14ac:dyDescent="0.3">
      <c r="A3" s="3" t="s">
        <v>2</v>
      </c>
      <c r="B3" s="4">
        <v>19962</v>
      </c>
      <c r="C3" s="4">
        <v>21479</v>
      </c>
      <c r="D3" s="4">
        <v>22292</v>
      </c>
      <c r="E3" s="4">
        <v>22887</v>
      </c>
      <c r="F3" s="4">
        <v>19790</v>
      </c>
    </row>
    <row r="4" spans="1:6" ht="18" x14ac:dyDescent="0.3">
      <c r="A4" s="3" t="s">
        <v>3</v>
      </c>
      <c r="B4" s="4">
        <v>6937</v>
      </c>
      <c r="C4" s="4">
        <v>6675</v>
      </c>
      <c r="D4" s="4">
        <v>5915</v>
      </c>
      <c r="E4" s="4">
        <v>6311</v>
      </c>
      <c r="F4" s="4">
        <v>3702</v>
      </c>
    </row>
    <row r="5" spans="1:6" ht="18" x14ac:dyDescent="0.3">
      <c r="A5" s="3" t="s">
        <v>4</v>
      </c>
      <c r="B5" s="4">
        <v>5727</v>
      </c>
      <c r="C5" s="4">
        <v>6046</v>
      </c>
      <c r="D5" s="4">
        <v>5070</v>
      </c>
      <c r="E5" s="4">
        <v>5700</v>
      </c>
      <c r="F5" s="4">
        <v>3219</v>
      </c>
    </row>
    <row r="6" spans="1:6" ht="18" x14ac:dyDescent="0.3">
      <c r="A6" s="3" t="s">
        <v>5</v>
      </c>
      <c r="B6" s="4">
        <v>13476</v>
      </c>
      <c r="C6" s="4">
        <v>12997</v>
      </c>
      <c r="D6" s="4">
        <v>10675</v>
      </c>
      <c r="E6" s="4">
        <v>11582</v>
      </c>
      <c r="F6" s="4">
        <v>9151</v>
      </c>
    </row>
    <row r="7" spans="1:6" ht="18" x14ac:dyDescent="0.3">
      <c r="A7" s="3" t="s">
        <v>6</v>
      </c>
      <c r="B7" s="4">
        <v>4463</v>
      </c>
      <c r="C7" s="4">
        <v>4667</v>
      </c>
      <c r="D7" s="4">
        <v>4131</v>
      </c>
      <c r="E7" s="4">
        <v>4427</v>
      </c>
      <c r="F7" s="4">
        <v>4717</v>
      </c>
    </row>
    <row r="8" spans="1:6" ht="18" x14ac:dyDescent="0.3">
      <c r="A8" s="3" t="s">
        <v>7</v>
      </c>
      <c r="B8" s="4">
        <v>6854</v>
      </c>
      <c r="C8" s="4">
        <v>8420</v>
      </c>
      <c r="D8" s="4">
        <v>8454</v>
      </c>
      <c r="E8" s="4">
        <v>7519</v>
      </c>
      <c r="F8" s="4">
        <v>7489</v>
      </c>
    </row>
    <row r="9" spans="1:6" ht="18" x14ac:dyDescent="0.3">
      <c r="A9" s="3" t="s">
        <v>8</v>
      </c>
      <c r="B9" s="4">
        <v>2836</v>
      </c>
      <c r="C9" s="4">
        <v>3358</v>
      </c>
      <c r="D9" s="4">
        <v>2862</v>
      </c>
      <c r="E9" s="4">
        <v>2851</v>
      </c>
      <c r="F9" s="4">
        <v>3479</v>
      </c>
    </row>
    <row r="10" spans="1:6" ht="18" x14ac:dyDescent="0.3">
      <c r="A10" s="3" t="s">
        <v>9</v>
      </c>
      <c r="B10" s="4">
        <v>36579</v>
      </c>
      <c r="C10" s="4">
        <v>40321</v>
      </c>
      <c r="D10" s="4">
        <v>37531</v>
      </c>
      <c r="E10" s="4">
        <v>38110</v>
      </c>
      <c r="F10" s="4">
        <v>36579</v>
      </c>
    </row>
    <row r="11" spans="1:6" ht="18" x14ac:dyDescent="0.3">
      <c r="A11" s="3" t="s">
        <v>10</v>
      </c>
      <c r="B11" s="4">
        <v>9880</v>
      </c>
      <c r="C11" s="4">
        <v>12619</v>
      </c>
      <c r="D11" s="4">
        <v>12138</v>
      </c>
      <c r="E11" s="4">
        <v>11977</v>
      </c>
      <c r="F11" s="4">
        <v>11016</v>
      </c>
    </row>
    <row r="12" spans="1:6" ht="18" x14ac:dyDescent="0.3">
      <c r="A12" s="3" t="s">
        <v>11</v>
      </c>
      <c r="B12" s="4">
        <v>12767</v>
      </c>
      <c r="C12" s="4">
        <v>15281</v>
      </c>
      <c r="D12" s="4">
        <v>14004</v>
      </c>
      <c r="E12" s="4">
        <v>14430</v>
      </c>
      <c r="F12" s="4">
        <v>13213</v>
      </c>
    </row>
    <row r="13" spans="1:6" ht="18" x14ac:dyDescent="0.3">
      <c r="A13" s="3" t="s">
        <v>12</v>
      </c>
      <c r="B13" s="4">
        <v>6657</v>
      </c>
      <c r="C13" s="4">
        <v>5188</v>
      </c>
      <c r="D13" s="4">
        <v>5841</v>
      </c>
      <c r="E13" s="4">
        <v>7429</v>
      </c>
      <c r="F13" s="4">
        <v>3698</v>
      </c>
    </row>
    <row r="14" spans="1:6" ht="18" x14ac:dyDescent="0.3">
      <c r="A14" s="3" t="s">
        <v>13</v>
      </c>
      <c r="B14" s="4">
        <v>695</v>
      </c>
      <c r="C14" s="4">
        <v>758</v>
      </c>
      <c r="D14" s="4">
        <v>969</v>
      </c>
      <c r="E14" s="4">
        <v>812</v>
      </c>
      <c r="F14" s="4">
        <v>430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7826-7561-400B-9FDD-6E1C4FBE24F9}">
  <dimension ref="A1:B11"/>
  <sheetViews>
    <sheetView workbookViewId="0">
      <selection activeCell="E8" sqref="E8"/>
    </sheetView>
  </sheetViews>
  <sheetFormatPr defaultRowHeight="14.4" x14ac:dyDescent="0.3"/>
  <cols>
    <col min="1" max="1" width="27.88671875" customWidth="1"/>
    <col min="2" max="2" width="17.6640625" customWidth="1"/>
  </cols>
  <sheetData>
    <row r="1" spans="1:2" ht="18" x14ac:dyDescent="0.3">
      <c r="A1" s="2" t="s">
        <v>27</v>
      </c>
      <c r="B1" s="5" t="s">
        <v>28</v>
      </c>
    </row>
    <row r="2" spans="1:2" ht="36" x14ac:dyDescent="0.3">
      <c r="A2" s="3" t="s">
        <v>29</v>
      </c>
      <c r="B2" s="10">
        <v>0.05</v>
      </c>
    </row>
    <row r="3" spans="1:2" ht="36" x14ac:dyDescent="0.3">
      <c r="A3" s="3" t="s">
        <v>30</v>
      </c>
      <c r="B3" s="10">
        <v>0.06</v>
      </c>
    </row>
    <row r="4" spans="1:2" ht="36" x14ac:dyDescent="0.3">
      <c r="A4" s="3" t="s">
        <v>31</v>
      </c>
      <c r="B4" s="10">
        <v>7.0000000000000007E-2</v>
      </c>
    </row>
    <row r="5" spans="1:2" ht="18" x14ac:dyDescent="0.3">
      <c r="A5" s="3" t="s">
        <v>15</v>
      </c>
      <c r="B5" s="10">
        <v>0.44</v>
      </c>
    </row>
    <row r="6" spans="1:2" ht="18" x14ac:dyDescent="0.3">
      <c r="A6" s="3" t="s">
        <v>16</v>
      </c>
      <c r="B6" s="10">
        <v>0.1</v>
      </c>
    </row>
    <row r="7" spans="1:2" ht="18" x14ac:dyDescent="0.3">
      <c r="A7" s="3" t="s">
        <v>32</v>
      </c>
      <c r="B7" s="10">
        <v>0.2</v>
      </c>
    </row>
    <row r="8" spans="1:2" ht="18" x14ac:dyDescent="0.3">
      <c r="A8" s="3" t="s">
        <v>33</v>
      </c>
      <c r="B8" s="6">
        <v>1.4999999999999999E-2</v>
      </c>
    </row>
    <row r="9" spans="1:2" ht="18" x14ac:dyDescent="0.3">
      <c r="A9" s="3" t="s">
        <v>34</v>
      </c>
      <c r="B9" s="11">
        <v>35</v>
      </c>
    </row>
    <row r="10" spans="1:2" ht="18" x14ac:dyDescent="0.3">
      <c r="A10" s="3" t="s">
        <v>24</v>
      </c>
      <c r="B10" s="11">
        <v>100</v>
      </c>
    </row>
    <row r="11" spans="1:2" ht="18" x14ac:dyDescent="0.3">
      <c r="A11" s="3" t="s">
        <v>35</v>
      </c>
      <c r="B11" s="1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BEEB-5CFA-4E72-952D-70E93C03157F}">
  <dimension ref="A1:F13"/>
  <sheetViews>
    <sheetView workbookViewId="0">
      <selection activeCell="B9" sqref="B9:F9"/>
    </sheetView>
  </sheetViews>
  <sheetFormatPr defaultRowHeight="14.4" x14ac:dyDescent="0.3"/>
  <cols>
    <col min="1" max="1" width="19.77734375" customWidth="1"/>
    <col min="2" max="2" width="14.77734375" customWidth="1"/>
    <col min="3" max="3" width="13.33203125" customWidth="1"/>
    <col min="4" max="4" width="14.21875" customWidth="1"/>
    <col min="5" max="5" width="14.109375" customWidth="1"/>
    <col min="6" max="6" width="12.77734375" customWidth="1"/>
  </cols>
  <sheetData>
    <row r="1" spans="1:6" ht="18" x14ac:dyDescent="0.3">
      <c r="A1" s="2" t="s">
        <v>14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</row>
    <row r="2" spans="1:6" ht="18" x14ac:dyDescent="0.3">
      <c r="A2" s="3" t="s">
        <v>15</v>
      </c>
      <c r="B2" s="6">
        <f>Raw_Data!B3/Raw_Data!B2</f>
        <v>0.44820153576721</v>
      </c>
      <c r="C2" s="6">
        <f>Raw_Data!C3/Raw_Data!C2</f>
        <v>0.45983729394134021</v>
      </c>
      <c r="D2" s="6">
        <f>Raw_Data!D3/Raw_Data!D2</f>
        <v>0.43524610969014194</v>
      </c>
      <c r="E2" s="6">
        <f>Raw_Data!E3/Raw_Data!E2</f>
        <v>0.44554975860457874</v>
      </c>
      <c r="F2" s="6">
        <f>Raw_Data!F3/Raw_Data!F2</f>
        <v>0.42734673605562634</v>
      </c>
    </row>
    <row r="3" spans="1:6" ht="18" x14ac:dyDescent="0.3">
      <c r="A3" s="3" t="s">
        <v>16</v>
      </c>
      <c r="B3" s="6">
        <f>Raw_Data!B4/Raw_Data!B2</f>
        <v>0.15575463649018814</v>
      </c>
      <c r="C3" s="6">
        <f>Raw_Data!C4/Raw_Data!C2</f>
        <v>0.14290301862556198</v>
      </c>
      <c r="D3" s="6">
        <f>Raw_Data!D4/Raw_Data!D2</f>
        <v>0.11548899779370131</v>
      </c>
      <c r="E3" s="6">
        <f>Raw_Data!E4/Raw_Data!E2</f>
        <v>0.12285858900482791</v>
      </c>
      <c r="F3" s="6">
        <f>Raw_Data!F4/Raw_Data!F2</f>
        <v>7.9941264117126265E-2</v>
      </c>
    </row>
    <row r="4" spans="1:6" ht="18" x14ac:dyDescent="0.3">
      <c r="A4" s="3" t="s">
        <v>17</v>
      </c>
      <c r="B4" s="6">
        <f>Raw_Data!B5/Raw_Data!B2</f>
        <v>0.12858682473393507</v>
      </c>
      <c r="C4" s="6">
        <f>Raw_Data!C5/Raw_Data!C2</f>
        <v>0.12943695140226932</v>
      </c>
      <c r="D4" s="6">
        <f>Raw_Data!D5/Raw_Data!D2</f>
        <v>9.8990569537458259E-2</v>
      </c>
      <c r="E4" s="6">
        <f>Raw_Data!E5/Raw_Data!E2</f>
        <v>0.11096402429528111</v>
      </c>
      <c r="F4" s="6">
        <f>Raw_Data!F5/Raw_Data!F2</f>
        <v>6.9511326092120324E-2</v>
      </c>
    </row>
    <row r="5" spans="1:6" ht="18" x14ac:dyDescent="0.3">
      <c r="A5" s="3" t="s">
        <v>18</v>
      </c>
      <c r="B5" s="6">
        <f>Raw_Data!B5/Raw_Data!B10</f>
        <v>0.15656524235216929</v>
      </c>
      <c r="C5" s="6">
        <f>Raw_Data!C5/Raw_Data!C10</f>
        <v>0.14994667790977406</v>
      </c>
      <c r="D5" s="6">
        <f>Raw_Data!D5/Raw_Data!D10</f>
        <v>0.13508832698302736</v>
      </c>
      <c r="E5" s="6">
        <f>Raw_Data!E5/Raw_Data!E10</f>
        <v>0.14956704277092628</v>
      </c>
      <c r="F5" s="6">
        <f>Raw_Data!F5/Raw_Data!F10</f>
        <v>8.800131222832773E-2</v>
      </c>
    </row>
    <row r="6" spans="1:6" ht="18" x14ac:dyDescent="0.3">
      <c r="A6" s="3" t="s">
        <v>19</v>
      </c>
      <c r="B6" s="6">
        <f>Raw_Data!B5/Raw_Data!B12</f>
        <v>0.44857836610010182</v>
      </c>
      <c r="C6" s="6">
        <f>Raw_Data!C5/Raw_Data!C12</f>
        <v>0.3956547346377855</v>
      </c>
      <c r="D6" s="6">
        <f>Raw_Data!D5/Raw_Data!D12</f>
        <v>0.36203941730934019</v>
      </c>
      <c r="E6" s="6">
        <f>Raw_Data!E5/Raw_Data!E12</f>
        <v>0.39501039501039503</v>
      </c>
      <c r="F6" s="6">
        <f>Raw_Data!F5/Raw_Data!F12</f>
        <v>0.24362370392794974</v>
      </c>
    </row>
    <row r="7" spans="1:6" ht="18" x14ac:dyDescent="0.3">
      <c r="A7" s="3" t="s">
        <v>20</v>
      </c>
      <c r="B7" s="7">
        <f>Raw_Data!B11/Raw_Data!B12</f>
        <v>0.77387013393906168</v>
      </c>
      <c r="C7" s="7">
        <f>Raw_Data!C11/Raw_Data!C12</f>
        <v>0.82579674105097833</v>
      </c>
      <c r="D7" s="7">
        <f>Raw_Data!D11/Raw_Data!D12</f>
        <v>0.86675235646958015</v>
      </c>
      <c r="E7" s="7">
        <f>Raw_Data!E11/Raw_Data!E12</f>
        <v>0.83000693000693004</v>
      </c>
      <c r="F7" s="7">
        <f>Raw_Data!F11/Raw_Data!F12</f>
        <v>0.83372436237039282</v>
      </c>
    </row>
    <row r="8" spans="1:6" ht="36" x14ac:dyDescent="0.3">
      <c r="A8" s="3" t="s">
        <v>21</v>
      </c>
      <c r="B8" s="7">
        <f>Raw_Data!B13/Raw_Data!B5</f>
        <v>1.1623886851754845</v>
      </c>
      <c r="C8" s="7">
        <f>Raw_Data!C13/Raw_Data!C5</f>
        <v>0.85808799206086672</v>
      </c>
      <c r="D8" s="7">
        <f>Raw_Data!D13/Raw_Data!D5</f>
        <v>1.1520710059171597</v>
      </c>
      <c r="E8" s="7">
        <f>Raw_Data!E13/Raw_Data!E5</f>
        <v>1.3033333333333332</v>
      </c>
      <c r="F8" s="7">
        <f>Raw_Data!F13/Raw_Data!F5</f>
        <v>1.1488039763901834</v>
      </c>
    </row>
    <row r="9" spans="1:6" ht="18" x14ac:dyDescent="0.3">
      <c r="A9" s="3" t="s">
        <v>22</v>
      </c>
      <c r="B9" s="8">
        <f>Raw_Data!B13-Raw_Data!B14</f>
        <v>5962</v>
      </c>
      <c r="C9" s="8">
        <f>Raw_Data!C13-Raw_Data!C14</f>
        <v>4430</v>
      </c>
      <c r="D9" s="8">
        <f>Raw_Data!D13-Raw_Data!D14</f>
        <v>4872</v>
      </c>
      <c r="E9" s="8">
        <f>Raw_Data!E13-Raw_Data!E14</f>
        <v>6617</v>
      </c>
      <c r="F9" s="8">
        <f>Raw_Data!F13-Raw_Data!F14</f>
        <v>3268</v>
      </c>
    </row>
    <row r="10" spans="1:6" ht="18" x14ac:dyDescent="0.3">
      <c r="A10" s="3" t="s">
        <v>23</v>
      </c>
      <c r="B10" s="9">
        <f>(Raw_Data!B7/Raw_Data!B2)*365</f>
        <v>36.575396290807852</v>
      </c>
      <c r="C10" s="9">
        <f>(Raw_Data!C7/Raw_Data!C2)*365</f>
        <v>36.468743309783775</v>
      </c>
      <c r="D10" s="9">
        <f>(Raw_Data!D7/Raw_Data!D2)*365</f>
        <v>29.439736806138587</v>
      </c>
      <c r="E10" s="9">
        <f>(Raw_Data!E7/Raw_Data!E2)*365</f>
        <v>31.456451487307273</v>
      </c>
      <c r="F10" s="9">
        <f>(Raw_Data!F7/Raw_Data!F2)*365</f>
        <v>37.178626184974839</v>
      </c>
    </row>
    <row r="11" spans="1:6" ht="18" x14ac:dyDescent="0.3">
      <c r="A11" s="3" t="s">
        <v>24</v>
      </c>
      <c r="B11" s="9">
        <f>(Raw_Data!B8/(Raw_Data!B2-Raw_Data!B3))*365</f>
        <v>101.79484049479166</v>
      </c>
      <c r="C11" s="9">
        <f>(Raw_Data!C8/(Raw_Data!C2-Raw_Data!C3))*365</f>
        <v>121.8065078673061</v>
      </c>
      <c r="D11" s="9">
        <f>(Raw_Data!D8/(Raw_Data!D2-Raw_Data!D3))*365</f>
        <v>106.67968885047536</v>
      </c>
      <c r="E11" s="9">
        <f>(Raw_Data!E8/(Raw_Data!E2-Raw_Data!E3))*365</f>
        <v>96.360205048980021</v>
      </c>
      <c r="F11" s="9">
        <f>(Raw_Data!F8/(Raw_Data!F2-Raw_Data!F3))*365</f>
        <v>103.07647347185038</v>
      </c>
    </row>
    <row r="12" spans="1:6" ht="18" x14ac:dyDescent="0.3">
      <c r="A12" s="3" t="s">
        <v>25</v>
      </c>
      <c r="B12" s="9">
        <f>(Raw_Data!B9/(Raw_Data!B2-Raw_Data!B3))*365</f>
        <v>42.119954427083336</v>
      </c>
      <c r="C12" s="9">
        <f>(Raw_Data!C9/(Raw_Data!C2-Raw_Data!C3))*365</f>
        <v>48.577939835916133</v>
      </c>
      <c r="D12" s="9">
        <f>(Raw_Data!D9/(Raw_Data!D2-Raw_Data!D3))*365</f>
        <v>36.115125324114082</v>
      </c>
      <c r="E12" s="9">
        <f>(Raw_Data!E9/(Raw_Data!E2-Raw_Data!E3))*365</f>
        <v>36.537165127628946</v>
      </c>
      <c r="F12" s="9">
        <f>(Raw_Data!F9/(Raw_Data!F2-Raw_Data!F3))*365</f>
        <v>47.883969983785214</v>
      </c>
    </row>
    <row r="13" spans="1:6" ht="18" x14ac:dyDescent="0.3">
      <c r="A13" s="3" t="s">
        <v>26</v>
      </c>
      <c r="B13" s="9">
        <f>B10+B11-B12</f>
        <v>96.250282358516159</v>
      </c>
      <c r="C13" s="9">
        <f t="shared" ref="C13:F13" si="0">C10+C11-C12</f>
        <v>109.69731134117373</v>
      </c>
      <c r="D13" s="9">
        <f t="shared" si="0"/>
        <v>100.00430033249987</v>
      </c>
      <c r="E13" s="9">
        <f t="shared" si="0"/>
        <v>91.279491408658345</v>
      </c>
      <c r="F13" s="9">
        <f t="shared" si="0"/>
        <v>92.371129673040002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75F0-8D49-40B3-B9D3-8FDBF685DC38}">
  <dimension ref="A1:E10"/>
  <sheetViews>
    <sheetView workbookViewId="0">
      <selection activeCell="D21" sqref="D21"/>
    </sheetView>
  </sheetViews>
  <sheetFormatPr defaultRowHeight="14.4" x14ac:dyDescent="0.3"/>
  <cols>
    <col min="1" max="1" width="23.33203125" customWidth="1"/>
    <col min="2" max="2" width="10.88671875" customWidth="1"/>
    <col min="3" max="3" width="11.21875" customWidth="1"/>
    <col min="4" max="5" width="10.6640625" customWidth="1"/>
  </cols>
  <sheetData>
    <row r="1" spans="1:5" ht="18" x14ac:dyDescent="0.3">
      <c r="A1" s="2" t="s">
        <v>0</v>
      </c>
      <c r="B1" s="5" t="s">
        <v>36</v>
      </c>
      <c r="C1" s="5" t="s">
        <v>37</v>
      </c>
      <c r="D1" s="5" t="s">
        <v>38</v>
      </c>
      <c r="E1" s="5" t="s">
        <v>39</v>
      </c>
    </row>
    <row r="2" spans="1:5" ht="18" x14ac:dyDescent="0.3">
      <c r="A2" s="3" t="s">
        <v>1</v>
      </c>
      <c r="B2" s="8">
        <v>46309</v>
      </c>
      <c r="C2" s="8">
        <v>48624</v>
      </c>
      <c r="D2" s="8">
        <v>51542</v>
      </c>
      <c r="E2" s="8">
        <v>55150</v>
      </c>
    </row>
    <row r="3" spans="1:5" ht="18" x14ac:dyDescent="0.35">
      <c r="A3" s="12" t="s">
        <v>2</v>
      </c>
      <c r="B3" s="13">
        <v>19790</v>
      </c>
      <c r="C3" s="13">
        <v>21394</v>
      </c>
      <c r="D3" s="13">
        <v>22678</v>
      </c>
      <c r="E3" s="13">
        <v>24266</v>
      </c>
    </row>
    <row r="4" spans="1:5" ht="18" x14ac:dyDescent="0.35">
      <c r="A4" s="12" t="s">
        <v>3</v>
      </c>
      <c r="B4" s="13">
        <v>3702</v>
      </c>
      <c r="C4" s="13">
        <v>4862</v>
      </c>
      <c r="D4" s="13">
        <v>5154</v>
      </c>
      <c r="E4" s="13">
        <v>5515</v>
      </c>
    </row>
    <row r="5" spans="1:5" ht="18" x14ac:dyDescent="0.35">
      <c r="A5" s="12" t="s">
        <v>4</v>
      </c>
      <c r="B5" s="13">
        <v>3219</v>
      </c>
      <c r="C5" s="13">
        <f>C4*(1-Assumptions!$B$7)</f>
        <v>3889.6000000000004</v>
      </c>
      <c r="D5" s="13">
        <f>D4*(1-Assumptions!$B$7)</f>
        <v>4123.2</v>
      </c>
      <c r="E5" s="13">
        <f>E4*(1-Assumptions!$B$7)</f>
        <v>4412</v>
      </c>
    </row>
    <row r="6" spans="1:5" ht="18" x14ac:dyDescent="0.35">
      <c r="A6" s="12" t="s">
        <v>40</v>
      </c>
      <c r="B6" s="13">
        <v>4717</v>
      </c>
      <c r="C6" s="13">
        <f>C2*(Assumptions!$B$9/365)</f>
        <v>4662.5753424657532</v>
      </c>
      <c r="D6" s="13">
        <f>D2*(Assumptions!$B$9/365)</f>
        <v>4942.3835616438355</v>
      </c>
      <c r="E6" s="13">
        <f>E2*(Assumptions!$B$9/365)</f>
        <v>5288.356164383561</v>
      </c>
    </row>
    <row r="7" spans="1:5" ht="18" x14ac:dyDescent="0.35">
      <c r="A7" s="12" t="s">
        <v>7</v>
      </c>
      <c r="B7" s="13">
        <v>7489</v>
      </c>
      <c r="C7" s="13">
        <f>(C2-C3)*(Assumptions!$B$10/365)</f>
        <v>7460.2739726027394</v>
      </c>
      <c r="D7" s="13">
        <f>(D2-D3)*(Assumptions!$B$10/365)</f>
        <v>7907.9452054794519</v>
      </c>
      <c r="E7" s="13">
        <f>(E2-E3)*(Assumptions!$B$10/365)</f>
        <v>8461.3698630136987</v>
      </c>
    </row>
    <row r="8" spans="1:5" ht="18" x14ac:dyDescent="0.35">
      <c r="A8" s="12" t="s">
        <v>8</v>
      </c>
      <c r="B8" s="13">
        <v>3479</v>
      </c>
      <c r="C8" s="13">
        <f>(C2-C3)*(Assumptions!$B$11/365)</f>
        <v>3357.1232876712329</v>
      </c>
      <c r="D8" s="13">
        <f>(D2-D3)*(Assumptions!$B$11/365)</f>
        <v>3558.5753424657532</v>
      </c>
      <c r="E8" s="13">
        <f>(E2-E3)*(Assumptions!$B$11/365)</f>
        <v>3807.6164383561641</v>
      </c>
    </row>
    <row r="9" spans="1:5" ht="18" x14ac:dyDescent="0.35">
      <c r="A9" s="12" t="s">
        <v>41</v>
      </c>
      <c r="B9" s="13">
        <v>430</v>
      </c>
      <c r="C9" s="13">
        <f>C2*Assumptions!$B$8</f>
        <v>729.36</v>
      </c>
      <c r="D9" s="13">
        <f>D2*Assumptions!$B$8</f>
        <v>773.13</v>
      </c>
      <c r="E9" s="13">
        <f>E2*Assumptions!$B$8</f>
        <v>827.25</v>
      </c>
    </row>
    <row r="10" spans="1:5" ht="18" x14ac:dyDescent="0.35">
      <c r="A10" s="12" t="s">
        <v>22</v>
      </c>
      <c r="B10" s="13">
        <f>B5-B9</f>
        <v>2789</v>
      </c>
      <c r="C10" s="13">
        <f>C5-C9</f>
        <v>3160.2400000000002</v>
      </c>
      <c r="D10" s="13">
        <f>D5-D9</f>
        <v>3350.0699999999997</v>
      </c>
      <c r="E10" s="13">
        <f>E5-E9</f>
        <v>3584.75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BE34-899F-4EAA-A4A1-CED5ADE5A273}">
  <dimension ref="A1:D8"/>
  <sheetViews>
    <sheetView workbookViewId="0">
      <selection sqref="A1:D8"/>
    </sheetView>
  </sheetViews>
  <sheetFormatPr defaultRowHeight="14.4" x14ac:dyDescent="0.3"/>
  <cols>
    <col min="1" max="1" width="23.109375" customWidth="1"/>
    <col min="2" max="2" width="14.44140625" customWidth="1"/>
    <col min="3" max="3" width="15.44140625" customWidth="1"/>
    <col min="4" max="4" width="17.21875" customWidth="1"/>
  </cols>
  <sheetData>
    <row r="1" spans="1:4" ht="18" x14ac:dyDescent="0.3">
      <c r="A1" s="2" t="s">
        <v>27</v>
      </c>
      <c r="B1" s="5" t="s">
        <v>42</v>
      </c>
      <c r="C1" s="5" t="s">
        <v>43</v>
      </c>
      <c r="D1" s="5" t="s">
        <v>44</v>
      </c>
    </row>
    <row r="2" spans="1:4" ht="36" x14ac:dyDescent="0.3">
      <c r="A2" s="3" t="s">
        <v>29</v>
      </c>
      <c r="B2" s="10">
        <v>0.02</v>
      </c>
      <c r="C2" s="10">
        <v>0.05</v>
      </c>
      <c r="D2" s="10">
        <v>0.08</v>
      </c>
    </row>
    <row r="3" spans="1:4" ht="36" x14ac:dyDescent="0.3">
      <c r="A3" s="3" t="s">
        <v>30</v>
      </c>
      <c r="B3" s="10">
        <v>0.03</v>
      </c>
      <c r="C3" s="10">
        <v>0.06</v>
      </c>
      <c r="D3" s="10">
        <v>0.1</v>
      </c>
    </row>
    <row r="4" spans="1:4" ht="36" x14ac:dyDescent="0.3">
      <c r="A4" s="3" t="s">
        <v>31</v>
      </c>
      <c r="B4" s="10">
        <v>0.04</v>
      </c>
      <c r="C4" s="10">
        <v>7.0000000000000007E-2</v>
      </c>
      <c r="D4" s="10">
        <v>0.12</v>
      </c>
    </row>
    <row r="5" spans="1:4" ht="18" x14ac:dyDescent="0.3">
      <c r="A5" s="3" t="s">
        <v>16</v>
      </c>
      <c r="B5" s="10">
        <v>0.08</v>
      </c>
      <c r="C5" s="10">
        <v>0.1</v>
      </c>
      <c r="D5" s="10">
        <v>0.12</v>
      </c>
    </row>
    <row r="6" spans="1:4" ht="18" x14ac:dyDescent="0.35">
      <c r="A6" s="3" t="s">
        <v>45</v>
      </c>
      <c r="B6" s="13">
        <v>50925</v>
      </c>
      <c r="C6" s="13">
        <v>55150</v>
      </c>
      <c r="D6" s="13">
        <v>62150</v>
      </c>
    </row>
    <row r="7" spans="1:4" ht="36" x14ac:dyDescent="0.35">
      <c r="A7" s="3" t="s">
        <v>46</v>
      </c>
      <c r="B7" s="13">
        <v>4074</v>
      </c>
      <c r="C7" s="13">
        <v>5515</v>
      </c>
      <c r="D7" s="13">
        <v>7458</v>
      </c>
    </row>
    <row r="8" spans="1:4" ht="18" x14ac:dyDescent="0.35">
      <c r="A8" s="3" t="s">
        <v>47</v>
      </c>
      <c r="B8" s="13">
        <v>3259</v>
      </c>
      <c r="C8" s="13">
        <v>4412</v>
      </c>
      <c r="D8" s="13">
        <v>5966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R27" sqref="R27"/>
    </sheetView>
  </sheetViews>
  <sheetFormatPr defaultRowHeight="14.4" x14ac:dyDescent="0.3"/>
  <sheetData>
    <row r="1" spans="1:12" x14ac:dyDescent="0.3">
      <c r="A1" s="14" t="s">
        <v>48</v>
      </c>
      <c r="B1" s="14" t="s">
        <v>1</v>
      </c>
    </row>
    <row r="2" spans="1:12" ht="18" x14ac:dyDescent="0.3">
      <c r="A2" s="15">
        <v>2021</v>
      </c>
      <c r="B2" s="16">
        <v>44538</v>
      </c>
      <c r="I2">
        <v>2021</v>
      </c>
      <c r="J2" s="4">
        <v>5727</v>
      </c>
    </row>
    <row r="3" spans="1:12" ht="18" x14ac:dyDescent="0.3">
      <c r="A3" s="15">
        <v>2022</v>
      </c>
      <c r="B3" s="16">
        <v>46710</v>
      </c>
      <c r="I3">
        <v>2022</v>
      </c>
      <c r="J3" s="4">
        <v>6046</v>
      </c>
    </row>
    <row r="4" spans="1:12" ht="18" x14ac:dyDescent="0.3">
      <c r="A4" s="15">
        <v>2023</v>
      </c>
      <c r="B4" s="16">
        <v>51217</v>
      </c>
      <c r="I4">
        <v>2023</v>
      </c>
      <c r="J4" s="4">
        <v>5070</v>
      </c>
    </row>
    <row r="5" spans="1:12" ht="18" x14ac:dyDescent="0.3">
      <c r="A5" s="15">
        <v>2024</v>
      </c>
      <c r="B5" s="16">
        <v>51368</v>
      </c>
      <c r="I5">
        <v>2024</v>
      </c>
      <c r="J5" s="4">
        <v>5700</v>
      </c>
    </row>
    <row r="6" spans="1:12" ht="18" x14ac:dyDescent="0.3">
      <c r="A6" s="15">
        <v>2025</v>
      </c>
      <c r="B6" s="16">
        <v>46309</v>
      </c>
      <c r="I6">
        <v>2025</v>
      </c>
      <c r="J6" s="4">
        <v>3219</v>
      </c>
    </row>
    <row r="7" spans="1:12" ht="18" x14ac:dyDescent="0.35">
      <c r="A7" s="15" t="s">
        <v>37</v>
      </c>
      <c r="B7" s="16">
        <v>48624</v>
      </c>
      <c r="I7" t="s">
        <v>37</v>
      </c>
      <c r="J7" s="13">
        <v>3890</v>
      </c>
      <c r="K7" s="13"/>
      <c r="L7" s="13"/>
    </row>
    <row r="8" spans="1:12" ht="18" x14ac:dyDescent="0.35">
      <c r="A8" s="15" t="s">
        <v>38</v>
      </c>
      <c r="B8" s="16">
        <v>51542</v>
      </c>
      <c r="I8" t="s">
        <v>38</v>
      </c>
      <c r="J8" s="13">
        <v>4123</v>
      </c>
      <c r="K8" s="13"/>
      <c r="L8" s="13"/>
    </row>
    <row r="9" spans="1:12" ht="18" x14ac:dyDescent="0.35">
      <c r="A9" s="15" t="s">
        <v>39</v>
      </c>
      <c r="B9" s="16">
        <v>55150</v>
      </c>
      <c r="I9" t="s">
        <v>39</v>
      </c>
      <c r="J9" s="13">
        <v>4412</v>
      </c>
      <c r="K9" s="13"/>
      <c r="L9" s="13"/>
    </row>
    <row r="17" spans="1:10" ht="43.2" x14ac:dyDescent="0.3">
      <c r="I17" s="14" t="s">
        <v>49</v>
      </c>
      <c r="J17" s="19" t="s">
        <v>47</v>
      </c>
    </row>
    <row r="18" spans="1:10" x14ac:dyDescent="0.3">
      <c r="A18">
        <v>2021</v>
      </c>
      <c r="B18" s="17">
        <v>5962</v>
      </c>
      <c r="I18" s="15" t="s">
        <v>42</v>
      </c>
      <c r="J18" s="18">
        <v>3259</v>
      </c>
    </row>
    <row r="19" spans="1:10" x14ac:dyDescent="0.3">
      <c r="A19">
        <v>2022</v>
      </c>
      <c r="B19" s="17">
        <v>4430</v>
      </c>
      <c r="I19" s="15" t="s">
        <v>43</v>
      </c>
      <c r="J19" s="18">
        <v>4412</v>
      </c>
    </row>
    <row r="20" spans="1:10" x14ac:dyDescent="0.3">
      <c r="A20">
        <v>2023</v>
      </c>
      <c r="B20" s="17">
        <v>4872</v>
      </c>
      <c r="I20" s="15" t="s">
        <v>44</v>
      </c>
      <c r="J20" s="18">
        <v>5966</v>
      </c>
    </row>
    <row r="21" spans="1:10" x14ac:dyDescent="0.3">
      <c r="A21">
        <v>2024</v>
      </c>
      <c r="B21" s="17">
        <v>6617</v>
      </c>
    </row>
    <row r="22" spans="1:10" x14ac:dyDescent="0.3">
      <c r="A22">
        <v>2025</v>
      </c>
      <c r="B22" s="17">
        <v>3268</v>
      </c>
    </row>
    <row r="23" spans="1:10" x14ac:dyDescent="0.3">
      <c r="A23" t="s">
        <v>37</v>
      </c>
      <c r="B23" s="17">
        <v>3160</v>
      </c>
    </row>
    <row r="24" spans="1:10" x14ac:dyDescent="0.3">
      <c r="A24" t="s">
        <v>38</v>
      </c>
      <c r="B24" s="17">
        <v>3350</v>
      </c>
    </row>
    <row r="25" spans="1:10" x14ac:dyDescent="0.3">
      <c r="A25" t="s">
        <v>39</v>
      </c>
      <c r="B25" s="17">
        <v>3585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Assumptions</vt:lpstr>
      <vt:lpstr>Ratios</vt:lpstr>
      <vt:lpstr>Forecast</vt:lpstr>
      <vt:lpstr>Scenerios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rouhaan khan</dc:creator>
  <cp:lastModifiedBy>rouhaan khan</cp:lastModifiedBy>
  <dcterms:created xsi:type="dcterms:W3CDTF">2015-06-05T18:17:20Z</dcterms:created>
  <dcterms:modified xsi:type="dcterms:W3CDTF">2026-09-28T15:29:55Z</dcterms:modified>
</cp:coreProperties>
</file>